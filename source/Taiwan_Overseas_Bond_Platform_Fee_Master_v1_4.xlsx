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3624c8c76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家收費Master" sheetId="1" r:id="Rc886e7b6a5ee4818"/>
    <x:sheet xmlns:r="http://schemas.openxmlformats.org/officeDocument/2006/relationships" name="量化假設" sheetId="2" r:id="R7ad41ef8834b4a72"/>
    <x:sheet xmlns:r="http://schemas.openxmlformats.org/officeDocument/2006/relationships" name="成本試算" sheetId="3" r:id="R487b3a9bd32447c5"/>
    <x:sheet xmlns:r="http://schemas.openxmlformats.org/officeDocument/2006/relationships" name="方法與來源" sheetId="4" r:id="Re1edf92923f8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$#,##0;[Red]($#,##0);-"/>
    <x:numFmt numFmtId="202" formatCode="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1F4E7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e049ccda84079" /><Relationship Type="http://schemas.openxmlformats.org/officeDocument/2006/relationships/theme" Target="/xl/theme/theme1.xml" Id="Rdce7c9246f0d420a" /><Relationship Type="http://schemas.openxmlformats.org/officeDocument/2006/relationships/sharedStrings" Target="/xl/sharedStrings.xml" Id="R669ad9991a6f4fae" /><Relationship Type="http://schemas.openxmlformats.org/officeDocument/2006/relationships/worksheet" Target="/xl/worksheets/sheet1.xml" Id="Rc886e7b6a5ee4818" /><Relationship Type="http://schemas.openxmlformats.org/officeDocument/2006/relationships/worksheet" Target="/xl/worksheets/sheet2.xml" Id="R7ad41ef8834b4a72" /><Relationship Type="http://schemas.openxmlformats.org/officeDocument/2006/relationships/worksheet" Target="/xl/worksheets/sheet3.xml" Id="R487b3a9bd32447c5" /><Relationship Type="http://schemas.openxmlformats.org/officeDocument/2006/relationships/worksheet" Target="/xl/worksheets/sheet4.xml" Id="Re1edf92923f84d9b" /></Relationships>
</file>

<file path=xl/tables/table1.xml><?xml version="1.0" encoding="utf-8"?>
<x:table xmlns:x="http://schemas.openxmlformats.org/spreadsheetml/2006/main" id="1" name="BondFeeMasterTable" displayName="BondFeeMasterTable" ref="A1:O12" headerRowCount="1" totalsRowCount="0" totalsRowShown="0">
  <x:tableColumns count="15">
    <x:tableColumn id="1" name="平台"/>
    <x:tableColumn id="2" name="類型"/>
    <x:tableColumn id="3" name="申購/買入顯性費用"/>
    <x:tableColumn id="4" name="賣出/贖回顯性費用"/>
    <x:tableColumn id="5" name="信託管理/保管費"/>
    <x:tableColumn id="6" name="通路服務費/內含費用"/>
    <x:tableColumn id="7" name="費用是否內含成交價"/>
    <x:tableColumn id="8" name="線上交易"/>
    <x:tableColumn id="9" name="最低交易額"/>
    <x:tableColumn id="10" name="可直接成本試算"/>
    <x:tableColumn id="11" name="資料透明度"/>
    <x:tableColumn id="12" name="資料狀態"/>
    <x:tableColumn id="13" name="資料日期"/>
    <x:tableColumn id="14" name="官方來源"/>
    <x:tableColumn id="15" name="重要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umptionTable" displayName="AssumptionTable" ref="A1:K12" headerRowCount="1" totalsRowCount="0" totalsRowShown="0">
  <x:tableColumns count="11">
    <x:tableColumn id="1" name="平台"/>
    <x:tableColumn id="2" name="申購費率_低"/>
    <x:tableColumn id="3" name="申購費率_高"/>
    <x:tableColumn id="4" name="賣出費率_低"/>
    <x:tableColumn id="5" name="賣出費率_高"/>
    <x:tableColumn id="6" name="年管理費_低"/>
    <x:tableColumn id="7" name="年管理費_高"/>
    <x:tableColumn id="8" name="管理費計收年限上限"/>
    <x:tableColumn id="9" name="管理費特殊規則"/>
    <x:tableColumn id="10" name="可量化程度"/>
    <x:tableColumn id="11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d3926724f740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fd3f10975a4f3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20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48" hidden="0" customWidth="1"/>
    <x:col min="15" max="15" width="52" hidden="0" customWidth="1"/>
  </x:cols>
  <x:sheetData>
    <x:row r="1">
      <x:c r="A1" s="5" t="str">
        <x:v>平台</x:v>
      </x:c>
      <x:c r="B1" s="5" t="str">
        <x:v>類型</x:v>
      </x:c>
      <x:c r="C1" s="5" t="str">
        <x:v>申購/買入顯性費用</x:v>
      </x:c>
      <x:c r="D1" s="5" t="str">
        <x:v>賣出/贖回顯性費用</x:v>
      </x:c>
      <x:c r="E1" s="5" t="str">
        <x:v>信託管理/保管費</x:v>
      </x:c>
      <x:c r="F1" s="5" t="str">
        <x:v>通路服務費/內含費用</x:v>
      </x:c>
      <x:c r="G1" s="5" t="str">
        <x:v>費用是否內含成交價</x:v>
      </x:c>
      <x:c r="H1" s="5" t="str">
        <x:v>線上交易</x:v>
      </x:c>
      <x:c r="I1" s="5" t="str">
        <x:v>最低交易額</x:v>
      </x:c>
      <x:c r="J1" s="5" t="str">
        <x:v>可直接成本試算</x:v>
      </x:c>
      <x:c r="K1" s="5" t="str">
        <x:v>資料透明度</x:v>
      </x:c>
      <x:c r="L1" s="5" t="str">
        <x:v>資料狀態</x:v>
      </x:c>
      <x:c r="M1" s="5" t="str">
        <x:v>資料日期</x:v>
      </x:c>
      <x:c r="N1" s="5" t="str">
        <x:v>官方來源</x:v>
      </x:c>
      <x:c r="O1" s="5" t="str">
        <x:v>重要備註</x:v>
      </x:c>
    </x:row>
    <x:row r="2">
      <x:c r="A2" s="10" t="str">
        <x:v>玉山銀行</x:v>
      </x:c>
      <x:c r="B2" s="10" t="str">
        <x:v>銀行</x:v>
      </x:c>
      <x:c r="C2" s="10" t="str">
        <x:v>代表性商品說明書：申購金額 2.0%（各檔可能不同；數位通路另可能有折扣）</x:v>
      </x:c>
      <x:c r="D2" s="10" t="str">
        <x:v>未見統一贖回手續費；以個別商品說明書為準</x:v>
      </x:c>
      <x:c r="E2" s="10" t="str">
        <x:v>0.20%/年；按持有期間計，最低 NT$100 或等值外幣</x:v>
      </x:c>
      <x:c r="F2" s="10" t="str">
        <x:v>0%–5%；非專業投資人年化後不超過受託投資總金額 0.5%</x:v>
      </x:c>
      <x:c r="G2" s="10" t="str">
        <x:v>是（通路服務費內含申購價格）</x:v>
      </x:c>
      <x:c r="H2" s="10" t="str">
        <x:v>是，App 24小時可委託</x:v>
      </x:c>
      <x:c r="I2" s="10" t="str">
        <x:v>部分標的 USD 1,000 起</x:v>
      </x:c>
      <x:c r="J2" s="10" t="str">
        <x:v>部分</x:v>
      </x:c>
      <x:c r="K2" s="10" t="str">
        <x:v>高</x:v>
      </x:c>
      <x:c r="L2" s="10" t="str">
        <x:v>官方商品文件可量化</x:v>
      </x:c>
      <x:c r="M2" s="10" t="str">
        <x:v>2026-09-13</x:v>
      </x:c>
      <x:c r="N2" s="10" t="str">
        <x:v>https://wealth.esunbank.com/zh-tw/-/media/ESUNBANK/Files/Wealth/Bonds/bond_A924.pdf</x:v>
      </x:c>
      <x:c r="O2" s="10" t="str">
        <x:v>2.0% 為公開商品文件代表值，不宜視為所有債券固定費率；網站正式版應逐檔讀商品說明書。</x:v>
      </x:c>
    </x:row>
    <x:row r="3">
      <x:c r="A3" s="10" t="str">
        <x:v>國泰世華</x:v>
      </x:c>
      <x:c r="B3" s="10" t="str">
        <x:v>銀行</x:v>
      </x:c>
      <x:c r="C3" s="10" t="str">
        <x:v>申購時按每次信託資金 1.0%–1.75%</x:v>
      </x:c>
      <x:c r="D3" s="10" t="str">
        <x:v>官方收費頁未另列固定提前贖回手續費</x:v>
      </x:c>
      <x:c r="E3" s="10" t="str">
        <x:v>2014/1/1後申購：第1年 0.10%/年；第2年起 0.20%/年</x:v>
      </x:c>
      <x:c r="F3" s="10" t="str">
        <x:v>非專業投資人年化 ≤0.5%；專業投資人年化 ≤1%</x:v>
      </x:c>
      <x:c r="G3" s="10" t="str">
        <x:v>是（通路服務費內含申購價格）</x:v>
      </x:c>
      <x:c r="H3" s="10" t="str">
        <x:v>有線上資訊/交易服務</x:v>
      </x:c>
      <x:c r="I3" s="10" t="str">
        <x:v>依個別債券</x:v>
      </x:c>
      <x:c r="J3" s="10" t="str">
        <x:v>是</x:v>
      </x:c>
      <x:c r="K3" s="10" t="str">
        <x:v>高</x:v>
      </x:c>
      <x:c r="L3" s="10" t="str">
        <x:v>官方統一收費標準可量化</x:v>
      </x:c>
      <x:c r="M3" s="10" t="str">
        <x:v>2026-09-13</x:v>
      </x:c>
      <x:c r="N3" s="10" t="str">
        <x:v>https://www.cathaybk.com.tw/cathaybk/personal/investment/offshore-bond/announcement/#tab2</x:v>
      </x:c>
      <x:c r="O3" s="10" t="str">
        <x:v>申購費 1%–1.75%；信託管理費採分年費率。通路服務費屬內含價格成本，不另從帳戶扣收。</x:v>
      </x:c>
    </x:row>
    <x:row r="4">
      <x:c r="A4" s="10" t="str">
        <x:v>台北富邦銀行</x:v>
      </x:c>
      <x:c r="B4" s="10" t="str">
        <x:v>銀行</x:v>
      </x:c>
      <x:c r="C4" s="10" t="str">
        <x:v>2026/2/1 起申購：官網主打 0 申購手續費</x:v>
      </x:c>
      <x:c r="D4" s="10" t="str">
        <x:v>2026/2/1 起：出售/贖回時最高 1%；以信託本金計，且該筆交易含息報酬率達1%以上才收；到期/發行人提前買回免收</x:v>
      </x:c>
      <x:c r="E4" s="10" t="str">
        <x:v>0.18%/年；持有 5 年內計收，滿 5 年後免收；最低 NT$100</x:v>
      </x:c>
      <x:c r="F4" s="10" t="str">
        <x:v>年化 ≤0.5%</x:v>
      </x:c>
      <x:c r="G4" s="10" t="str">
        <x:v>是（通路服務費內含申購價格）</x:v>
      </x:c>
      <x:c r="H4" s="10" t="str">
        <x:v>是，網銀/行銀/分行</x:v>
      </x:c>
      <x:c r="I4" s="10" t="str">
        <x:v>部分標的 USD 1,000 起</x:v>
      </x:c>
      <x:c r="J4" s="10" t="str">
        <x:v>是</x:v>
      </x:c>
      <x:c r="K4" s="10" t="str">
        <x:v>高</x:v>
      </x:c>
      <x:c r="L4" s="10" t="str">
        <x:v>現行費率公開清楚</x:v>
      </x:c>
      <x:c r="M4" s="10" t="str">
        <x:v>2026-09-13</x:v>
      </x:c>
      <x:c r="N4" s="10" t="str">
        <x:v>https://www.fubon.com/banking/personal/fund_trust/Straight_bond/Straight_bond.htm</x:v>
      </x:c>
      <x:c r="O4" s="10" t="str">
        <x:v>成本試算：若選『提前賣出』，將1%賣出/贖回手續費納入；若持有到期則該費用為0。</x:v>
      </x:c>
    </x:row>
    <x:row r="5">
      <x:c r="A5" s="10" t="str">
        <x:v>中國信託</x:v>
      </x:c>
      <x:c r="B5" s="10" t="str">
        <x:v>銀行</x:v>
      </x:c>
      <x:c r="C5" s="10" t="str">
        <x:v>一般外國債券：通路服務費 0.5%–4%內含報價、不另收；部分商品可能改收信託手續費 0.5%–4%</x:v>
      </x:c>
      <x:c r="D5" s="10" t="str">
        <x:v>提前贖回：票面金額 1.25%</x:v>
      </x:c>
      <x:c r="E5" s="10" t="str">
        <x:v>0.20%/年；外幣信託按持有天數/360計</x:v>
      </x:c>
      <x:c r="F5" s="10" t="str">
        <x:v>一般債券通路服務費 0.5%–4%；非專業投資人年化後 ≤0.5%</x:v>
      </x:c>
      <x:c r="G5" s="10" t="str">
        <x:v>是（一般通路服務費內含報價）</x:v>
      </x:c>
      <x:c r="H5" s="10" t="str">
        <x:v>有海外債券服務</x:v>
      </x:c>
      <x:c r="I5" s="10" t="str">
        <x:v>依個別商品</x:v>
      </x:c>
      <x:c r="J5" s="10" t="str">
        <x:v>部分</x:v>
      </x:c>
      <x:c r="K5" s="10" t="str">
        <x:v>高</x:v>
      </x:c>
      <x:c r="L5" s="10" t="str">
        <x:v>官方費用說明可量化</x:v>
      </x:c>
      <x:c r="M5" s="10" t="str">
        <x:v>2026-09-13</x:v>
      </x:c>
      <x:c r="N5" s="10" t="str">
        <x:v>https://www.ctbcbank.com/twrbo/zh_tw/inv_index/inv_bond/inv_investmentproducts_bondoverview0.html</x:v>
      </x:c>
      <x:c r="O5" s="10" t="str">
        <x:v>中信一般債券通路費通常內含價格；若商品改採信託手續費則可能直接收 0.5%–4%。提前贖回 1.25% 為明確顯性成本。</x:v>
      </x:c>
    </x:row>
    <x:row r="6">
      <x:c r="A6" s="10" t="str">
        <x:v>台新銀行</x:v>
      </x:c>
      <x:c r="B6" s="10" t="str">
        <x:v>銀行</x:v>
      </x:c>
      <x:c r="C6" s="10" t="str">
        <x:v>申購金額 1.0%</x:v>
      </x:c>
      <x:c r="D6" s="10" t="str">
        <x:v>公開頁未列固定贖回費</x:v>
      </x:c>
      <x:c r="E6" s="10" t="str">
        <x:v>0.09%/年；依實際受託天數；賣出/到期時收取；最低約 NT$500 等值外幣</x:v>
      </x:c>
      <x:c r="F6" s="10" t="str">
        <x:v>0%–5%；非專業投資人年化不超過 0.5%</x:v>
      </x:c>
      <x:c r="G6" s="10" t="str">
        <x:v>通路服務費由交易對手支付</x:v>
      </x:c>
      <x:c r="H6" s="10" t="str">
        <x:v>有數位理財通路</x:v>
      </x:c>
      <x:c r="I6" s="10" t="str">
        <x:v>依個別商品</x:v>
      </x:c>
      <x:c r="J6" s="10" t="str">
        <x:v>是</x:v>
      </x:c>
      <x:c r="K6" s="10" t="str">
        <x:v>高</x:v>
      </x:c>
      <x:c r="L6" s="10" t="str">
        <x:v>現行費率公開清楚</x:v>
      </x:c>
      <x:c r="M6" s="10" t="str">
        <x:v>2026-09-13</x:v>
      </x:c>
      <x:c r="N6" s="10" t="str">
        <x:v>https://www.taishinbank.com.tw/TSB/personal/investment/offshore-bond/offshore-bond/TSBankGridPage-000088-00001/</x:v>
      </x:c>
      <x:c r="O6" s="10" t="str">
        <x:v>另有期間性手續費折扣活動；Master 先放牌告/一般收費，不把短期優惠當永久費率。</x:v>
      </x:c>
    </x:row>
    <x:row r="7">
      <x:c r="A7" s="10" t="str">
        <x:v>DBS 星展銀行</x:v>
      </x:c>
      <x:c r="B7" s="10" t="str">
        <x:v>銀行</x:v>
      </x:c>
      <x:c r="C7" s="10" t="str">
        <x:v>信託本金 1.5%</x:v>
      </x:c>
      <x:c r="D7" s="10" t="str">
        <x:v>未見固定贖回手續費</x:v>
      </x:c>
      <x:c r="E7" s="10" t="str">
        <x:v>第 1 年 0%；第 2 年起 0.20%/年；累計至多 0.60%</x:v>
      </x:c>
      <x:c r="F7" s="10" t="str">
        <x:v>年化 ≤0.5%</x:v>
      </x:c>
      <x:c r="G7" s="10" t="str">
        <x:v>是（通路服務費內含申購價格）</x:v>
      </x:c>
      <x:c r="H7" s="10" t="str">
        <x:v>是，digibank</x:v>
      </x:c>
      <x:c r="I7" s="10" t="str">
        <x:v>最低多為 5,000 計價幣別（依商品）</x:v>
      </x:c>
      <x:c r="J7" s="10" t="str">
        <x:v>是</x:v>
      </x:c>
      <x:c r="K7" s="10" t="str">
        <x:v>高</x:v>
      </x:c>
      <x:c r="L7" s="10" t="str">
        <x:v>現行費率公開清楚</x:v>
      </x:c>
      <x:c r="M7" s="10" t="str">
        <x:v>2026-09-13</x:v>
      </x:c>
      <x:c r="N7" s="10" t="str">
        <x:v>https://www.dbs.com.tw/treasures-zh/investments/foreign-bond/dbs-foreign-bond</x:v>
      </x:c>
      <x:c r="O7" s="10" t="str">
        <x:v>信託管理費是以到期或提前贖回金額計算，Master 的簡化試算以投資本金近似。</x:v>
      </x:c>
    </x:row>
    <x:row r="8">
      <x:c r="A8" s="10" t="str">
        <x:v>富邦證券</x:v>
      </x:c>
      <x:c r="B8" s="10" t="str">
        <x:v>證券商</x:v>
      </x:c>
      <x:c r="C8" s="10" t="str">
        <x:v>海外複委託債券交易手續費採內含方式收取；非專業機構投資人每筆不超過成交金額5%</x:v>
      </x:c>
      <x:c r="D8" s="10" t="str">
        <x:v>買進、賣出均適用內含交易手續費規則；非專業機構投資人每筆不超過成交金額5%</x:v>
      </x:c>
      <x:c r="E8" s="10" t="str">
        <x:v>複委託模式未見另列固定年度信託管理費</x:v>
      </x:c>
      <x:c r="F8" s="10" t="str">
        <x:v>交易手續費已內含成交價格；非專業機構投資人≤5%/筆，專業機構投資人≤10%/筆</x:v>
      </x:c>
      <x:c r="G8" s="10" t="str">
        <x:v>是（內含成交價）</x:v>
      </x:c>
      <x:c r="H8" s="10" t="str">
        <x:v>是，e點通；營業日10:30–21:00</x:v>
      </x:c>
      <x:c r="I8" s="10" t="str">
        <x:v>依個別標的</x:v>
      </x:c>
      <x:c r="J8" s="10" t="str">
        <x:v>部分</x:v>
      </x:c>
      <x:c r="K8" s="10" t="str">
        <x:v>高</x:v>
      </x:c>
      <x:c r="L8" s="10" t="str">
        <x:v>官方海外債頁明確揭露</x:v>
      </x:c>
      <x:c r="M8" s="10" t="str">
        <x:v>2026-09-13</x:v>
      </x:c>
      <x:c r="N8" s="10" t="str">
        <x:v>https://www.fbs.com.tw/FinancialManagementProducts/OverseasBonds</x:v>
      </x:c>
      <x:c r="O8" s="10" t="str">
        <x:v>5%是每筆『上限』，不是實際固定費率；適合列為隱含成本上限，不應直接當實際成交成本。</x:v>
      </x:c>
    </x:row>
    <x:row r="9">
      <x:c r="A9" s="10" t="str">
        <x:v>元大證券</x:v>
      </x:c>
      <x:c r="B9" s="10" t="str">
        <x:v>證券商</x:v>
      </x:c>
      <x:c r="C9" s="10" t="str">
        <x:v>信託手續費依商品；上限不多於 3%</x:v>
      </x:c>
      <x:c r="D9" s="10" t="str">
        <x:v>依商品/交易文件</x:v>
      </x:c>
      <x:c r="E9" s="10" t="str">
        <x:v>若商品須收取：0.20%/年；最低 NT$200 等值</x:v>
      </x:c>
      <x:c r="F9" s="10" t="str">
        <x:v>0%–0.5%/年</x:v>
      </x:c>
      <x:c r="G9" s="10" t="str">
        <x:v>通路服務費非客戶直接另付</x:v>
      </x:c>
      <x:c r="H9" s="10" t="str">
        <x:v>財富管理通路</x:v>
      </x:c>
      <x:c r="I9" s="10" t="str">
        <x:v>依個別商品</x:v>
      </x:c>
      <x:c r="J9" s="10" t="str">
        <x:v>部分</x:v>
      </x:c>
      <x:c r="K9" s="10" t="str">
        <x:v>高</x:v>
      </x:c>
      <x:c r="L9" s="10" t="str">
        <x:v>官方 FAQ 可量化上限</x:v>
      </x:c>
      <x:c r="M9" s="10" t="str">
        <x:v>2026-09-13</x:v>
      </x:c>
      <x:c r="N9" s="10" t="str">
        <x:v>https://wealth.yuanta.com.tw/WMECPortal/Wealth/ClientSrv/QA</x:v>
      </x:c>
      <x:c r="O9" s="10" t="str">
        <x:v>屬財富管理信託海外債券收費；實際單檔費率仍依商品揭露。</x:v>
      </x:c>
    </x:row>
    <x:row r="10">
      <x:c r="A10" s="10" t="str">
        <x:v>國泰證券</x:v>
      </x:c>
      <x:c r="B10" s="10" t="str">
        <x:v>證券商</x:v>
      </x:c>
      <x:c r="C10" s="10" t="str">
        <x:v>海外債券內含手續費反映於申購價格，不額外收取；每筆不得超過投資該商品總金額5%</x:v>
      </x:c>
      <x:c r="D10" s="10" t="str">
        <x:v>賣出時亦以實際報價反映交易成本；公開頁未列另收固定顯性手續費</x:v>
      </x:c>
      <x:c r="E10" s="10" t="str">
        <x:v>海外債券公開頁未列固定年度信託管理費</x:v>
      </x:c>
      <x:c r="F10" s="10" t="str">
        <x:v>內含手續費≤投資商品總金額5%/筆</x:v>
      </x:c>
      <x:c r="G10" s="10" t="str">
        <x:v>是（內含申購/成交價格）</x:v>
      </x:c>
      <x:c r="H10" s="10" t="str">
        <x:v>有海外商品服務</x:v>
      </x:c>
      <x:c r="I10" s="10" t="str">
        <x:v>依個別商品</x:v>
      </x:c>
      <x:c r="J10" s="10" t="str">
        <x:v>部分</x:v>
      </x:c>
      <x:c r="K10" s="10" t="str">
        <x:v>高</x:v>
      </x:c>
      <x:c r="L10" s="10" t="str">
        <x:v>官方海外債頁明確揭露</x:v>
      </x:c>
      <x:c r="M10" s="10" t="str">
        <x:v>2026-09-13</x:v>
      </x:c>
      <x:c r="N10" s="10" t="str">
        <x:v>https://www.cathaysec.com.tw/exclude_AL/other_products.aspx</x:v>
      </x:c>
      <x:c r="O10" s="10" t="str">
        <x:v>5%為每筆收費上限，實際成本反映於申購/成交價格；不應把5%直接視為固定費率。</x:v>
      </x:c>
    </x:row>
    <x:row r="11">
      <x:c r="A11" s="10" t="str">
        <x:v>凱基證券</x:v>
      </x:c>
      <x:c r="B11" s="10" t="str">
        <x:v>證券商</x:v>
      </x:c>
      <x:c r="C11" s="10" t="str">
        <x:v>債券商品交易手續費內含於成交價金；每筆不超過商品總金額 5%</x:v>
      </x:c>
      <x:c r="D11" s="10" t="str">
        <x:v>同一交易費規則；實際依成交價</x:v>
      </x:c>
      <x:c r="E11" s="10" t="str">
        <x:v>公開海外債頁未另列固定年度信託管理費</x:v>
      </x:c>
      <x:c r="F11" s="10" t="str">
        <x:v>年化 ≤0.5%</x:v>
      </x:c>
      <x:c r="G11" s="10" t="str">
        <x:v>是（交易手續費內含成交價）</x:v>
      </x:c>
      <x:c r="H11" s="10" t="str">
        <x:v>是</x:v>
      </x:c>
      <x:c r="I11" s="10" t="str">
        <x:v>USD/EUR/GBP/AUD 等多為 10,000；依幣別不同</x:v>
      </x:c>
      <x:c r="J11" s="10" t="str">
        <x:v>部分</x:v>
      </x:c>
      <x:c r="K11" s="10" t="str">
        <x:v>高</x:v>
      </x:c>
      <x:c r="L11" s="10" t="str">
        <x:v>官方公開頁可量化上限</x:v>
      </x:c>
      <x:c r="M11" s="10" t="str">
        <x:v>2026-09-13</x:v>
      </x:c>
      <x:c r="N11" s="10" t="str">
        <x:v>https://mixtrade.kgi.com.tw/overseas/bond/</x:v>
      </x:c>
      <x:c r="O11" s="10" t="str">
        <x:v>『≤5%』是上限，不代表實際每筆收 5%；不應拿上限直接當作實際成本排名。</x:v>
      </x:c>
    </x:row>
    <x:row r="12">
      <x:c r="A12" s="10" t="str">
        <x:v>永豐金證券</x:v>
      </x:c>
      <x:c r="B12" s="10" t="str">
        <x:v>證券商</x:v>
      </x:c>
      <x:c r="C12" s="10" t="str">
        <x:v>債券申購手續費 0.5%–1.0%</x:v>
      </x:c>
      <x:c r="D12" s="10" t="str">
        <x:v>未列固定贖回費；依商品</x:v>
      </x:c>
      <x:c r="E12" s="10" t="str">
        <x:v>整體信託管理費年率 0%–0.2%</x:v>
      </x:c>
      <x:c r="F12" s="10" t="str">
        <x:v>債券通路服務費由交易對手支付，依市場情形</x:v>
      </x:c>
      <x:c r="G12" s="10" t="str">
        <x:v>通路服務費非客戶直接另付</x:v>
      </x:c>
      <x:c r="H12" s="10" t="str">
        <x:v>財富管理通路</x:v>
      </x:c>
      <x:c r="I12" s="10" t="str">
        <x:v>依個別商品</x:v>
      </x:c>
      <x:c r="J12" s="10" t="str">
        <x:v>是（可用費率區間估算）</x:v>
      </x:c>
      <x:c r="K12" s="10" t="str">
        <x:v>高</x:v>
      </x:c>
      <x:c r="L12" s="10" t="str">
        <x:v>官方權益手冊可量化</x:v>
      </x:c>
      <x:c r="M12" s="10" t="str">
        <x:v>2026-09-13</x:v>
      </x:c>
      <x:c r="N12" s="10" t="str">
        <x:v>https://www.sinotrade.com.tw/Wealth/Wealth_7_1_2</x:v>
      </x:c>
      <x:c r="O12" s="10" t="str">
        <x:v>信託管理費為財富管理信託整體標準 0%–0.2%；個別債券實際適用費率仍應確認。</x:v>
      </x:c>
    </x:row>
  </x:sheetData>
  <x:conditionalFormatting sqref="K2:K12">
    <x:cfRule type="expression" dxfId="0" priority="1">
      <x:formula>K2="高"</x:formula>
    </x:cfRule>
    <x:cfRule type="expression" dxfId="1" priority="2">
      <x:formula>K2="低"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d3926724f740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38" hidden="0" customWidth="1"/>
    <x:col min="10" max="10" width="14" hidden="0" customWidth="1"/>
    <x:col min="11" max="11" width="40" hidden="0" customWidth="1"/>
  </x:cols>
  <x:sheetData>
    <x:row r="1">
      <x:c r="A1" s="4" t="str">
        <x:v>平台</x:v>
      </x:c>
      <x:c r="B1" s="12" t="str">
        <x:v>申購費率_低</x:v>
      </x:c>
      <x:c r="C1" s="12" t="str">
        <x:v>申購費率_高</x:v>
      </x:c>
      <x:c r="D1" s="12" t="str">
        <x:v>賣出費率_低</x:v>
      </x:c>
      <x:c r="E1" s="12" t="str">
        <x:v>賣出費率_高</x:v>
      </x:c>
      <x:c r="F1" s="12" t="str">
        <x:v>年管理費_低</x:v>
      </x:c>
      <x:c r="G1" s="12" t="str">
        <x:v>年管理費_高</x:v>
      </x:c>
      <x:c r="H1" s="4" t="str">
        <x:v>管理費計收年限上限</x:v>
      </x:c>
      <x:c r="I1" s="4" t="str">
        <x:v>管理費特殊規則</x:v>
      </x:c>
      <x:c r="J1" s="4" t="str">
        <x:v>可量化程度</x:v>
      </x:c>
      <x:c r="K1" s="4" t="str">
        <x:v>備註</x:v>
      </x:c>
    </x:row>
    <x:row r="2">
      <x:c r="A2" s="10" t="str">
        <x:v>玉山銀行</x:v>
      </x:c>
      <x:c r="B2" s="44" t="n">
        <x:v>0.02</x:v>
      </x:c>
      <x:c r="C2" s="44" t="n">
        <x:v>0.02</x:v>
      </x:c>
      <x:c r="D2" s="44" t="n">
        <x:v>0</x:v>
      </x:c>
      <x:c r="E2" s="44" t="n">
        <x:v>0</x:v>
      </x:c>
      <x:c r="F2" s="44" t="n">
        <x:v>0.002</x:v>
      </x:c>
      <x:c r="G2" s="44" t="n">
        <x:v>0.002</x:v>
      </x:c>
      <x:c r="H2" s="14" t="n">
        <x:v>99</x:v>
      </x:c>
      <x:c r="I2" s="10" t="str">
        <x:v>一般按實際持有期間</x:v>
      </x:c>
      <x:c r="J2" s="10" t="str">
        <x:v>代表商品</x:v>
      </x:c>
      <x:c r="K2" s="10" t="str">
        <x:v>2% 為代表性商品文件費率</x:v>
      </x:c>
    </x:row>
    <x:row r="3">
      <x:c r="A3" s="10" t="str">
        <x:v>國泰世華</x:v>
      </x:c>
      <x:c r="B3" s="44" t="n">
        <x:v>0.01</x:v>
      </x:c>
      <x:c r="C3" s="44" t="n">
        <x:v>0.0175</x:v>
      </x:c>
      <x:c r="D3" s="44" t="n">
        <x:v>0</x:v>
      </x:c>
      <x:c r="E3" s="44" t="n">
        <x:v>0</x:v>
      </x:c>
      <x:c r="F3" s="44" t="n">
        <x:v>0.001</x:v>
      </x:c>
      <x:c r="G3" s="44" t="n">
        <x:v>0.002</x:v>
      </x:c>
      <x:c r="H3" s="14" t="n">
        <x:v>99</x:v>
      </x:c>
      <x:c r="I3" s="10" t="str">
        <x:v>第1年0.10%；第2年起0.20%</x:v>
      </x:c>
      <x:c r="J3" s="10" t="str">
        <x:v>可</x:v>
      </x:c>
      <x:c r="K3" s="10" t="str">
        <x:v>申購費為區間；管理費為分年固定規則</x:v>
      </x:c>
    </x:row>
    <x:row r="4">
      <x:c r="A4" s="10" t="str">
        <x:v>台北富邦銀行</x:v>
      </x:c>
      <x:c r="B4" s="44" t="n">
        <x:v>0</x:v>
      </x:c>
      <x:c r="C4" s="44" t="n">
        <x:v>0</x:v>
      </x:c>
      <x:c r="D4" s="44" t="n">
        <x:v>0</x:v>
      </x:c>
      <x:c r="E4" s="44" t="n">
        <x:v>0.01</x:v>
      </x:c>
      <x:c r="F4" s="44" t="n">
        <x:v>0.0018</x:v>
      </x:c>
      <x:c r="G4" s="44" t="n">
        <x:v>0.0018</x:v>
      </x:c>
      <x:c r="H4" s="14" t="n">
        <x:v>5</x:v>
      </x:c>
      <x:c r="I4" s="10" t="str">
        <x:v>提前賣出且含息報酬率&gt;=1%時賣出費1%</x:v>
      </x:c>
      <x:c r="J4" s="10" t="str">
        <x:v>可</x:v>
      </x:c>
      <x:c r="K4" s="10" t="str">
        <x:v>到期情境賣出費=0；提前賣出情境最高用1%</x:v>
      </x:c>
    </x:row>
    <x:row r="5">
      <x:c r="A5" s="10" t="str">
        <x:v>中國信託</x:v>
      </x:c>
      <x:c r="B5" s="44" t="n">
        <x:v>0</x:v>
      </x:c>
      <x:c r="C5" s="44" t="n">
        <x:v>0.04</x:v>
      </x:c>
      <x:c r="D5" s="44" t="n">
        <x:v>0.0125</x:v>
      </x:c>
      <x:c r="E5" s="44" t="n">
        <x:v>0.0125</x:v>
      </x:c>
      <x:c r="F5" s="44" t="n">
        <x:v>0.002</x:v>
      </x:c>
      <x:c r="G5" s="44" t="n">
        <x:v>0.002</x:v>
      </x:c>
      <x:c r="H5" s="14" t="n">
        <x:v>99</x:v>
      </x:c>
      <x:c r="I5" s="10" t="str">
        <x:v>一般通路服務費0.5%–4%內含報價；部分商品改收信託手續費0.5%–4%；提前贖回1.25%</x:v>
      </x:c>
      <x:c r="J5" s="10" t="str">
        <x:v>區間</x:v>
      </x:c>
      <x:c r="K5" s="10" t="str">
        <x:v>申購端0–4%僅表示可能直接收取之信託手續費區間；一般通路服務費是內含價格，不應與顯性費用混為一談</x:v>
      </x:c>
    </x:row>
    <x:row r="6">
      <x:c r="A6" s="10" t="str">
        <x:v>台新銀行</x:v>
      </x:c>
      <x:c r="B6" s="44" t="n">
        <x:v>0.01</x:v>
      </x:c>
      <x:c r="C6" s="44" t="n">
        <x:v>0.01</x:v>
      </x:c>
      <x:c r="D6" s="44" t="n">
        <x:v>0</x:v>
      </x:c>
      <x:c r="E6" s="44" t="n">
        <x:v>0</x:v>
      </x:c>
      <x:c r="F6" s="44" t="n">
        <x:v>0.0009</x:v>
      </x:c>
      <x:c r="G6" s="44" t="n">
        <x:v>0.0009</x:v>
      </x:c>
      <x:c r="H6" s="14" t="n">
        <x:v>99</x:v>
      </x:c>
      <x:c r="I6" s="10" t="str">
        <x:v>按實際持有天數</x:v>
      </x:c>
      <x:c r="J6" s="10" t="str">
        <x:v>可</x:v>
      </x:c>
      <x:c r="K6" s="10" t="str"/>
    </x:row>
    <x:row r="7">
      <x:c r="A7" s="10" t="str">
        <x:v>DBS 星展銀行</x:v>
      </x:c>
      <x:c r="B7" s="44" t="n">
        <x:v>0.015</x:v>
      </x:c>
      <x:c r="C7" s="44" t="n">
        <x:v>0.015</x:v>
      </x:c>
      <x:c r="D7" s="44" t="n">
        <x:v>0</x:v>
      </x:c>
      <x:c r="E7" s="44" t="n">
        <x:v>0</x:v>
      </x:c>
      <x:c r="F7" s="44" t="n">
        <x:v>0</x:v>
      </x:c>
      <x:c r="G7" s="44" t="n">
        <x:v>0.002</x:v>
      </x:c>
      <x:c r="H7" s="14" t="n">
        <x:v>4</x:v>
      </x:c>
      <x:c r="I7" s="10" t="str">
        <x:v>第1年0；第2年起0.2%，累計最多0.6%</x:v>
      </x:c>
      <x:c r="J7" s="10" t="str">
        <x:v>可</x:v>
      </x:c>
      <x:c r="K7" s="10" t="str">
        <x:v>實務上最多計3個年度的0.2%</x:v>
      </x:c>
    </x:row>
    <x:row r="8">
      <x:c r="A8" s="10" t="str">
        <x:v>富邦證券</x:v>
      </x:c>
      <x:c r="B8" s="44" t="n">
        <x:v>0</x:v>
      </x:c>
      <x:c r="C8" s="44" t="n">
        <x:v>0</x:v>
      </x:c>
      <x:c r="D8" s="44" t="n">
        <x:v>0</x:v>
      </x:c>
      <x:c r="E8" s="44" t="n">
        <x:v>0</x:v>
      </x:c>
      <x:c r="F8" s="44" t="n">
        <x:v>0</x:v>
      </x:c>
      <x:c r="G8" s="44" t="n">
        <x:v>0</x:v>
      </x:c>
      <x:c r="H8" s="14" t="n">
        <x:v>0</x:v>
      </x:c>
      <x:c r="I8" s="10" t="str">
        <x:v>交易手續費內含成交價；非專業機構投資人每筆≤5%</x:v>
      </x:c>
      <x:c r="J8" s="10" t="str">
        <x:v>內含上限</x:v>
      </x:c>
      <x:c r="K8" s="10" t="str">
        <x:v>顯性費用以0呈現；另於成本試算顯示內含成本上限5%/筆</x:v>
      </x:c>
    </x:row>
    <x:row r="9">
      <x:c r="A9" s="10" t="str">
        <x:v>元大證券</x:v>
      </x:c>
      <x:c r="B9" s="44" t="n">
        <x:v>0</x:v>
      </x:c>
      <x:c r="C9" s="44" t="n">
        <x:v>0.03</x:v>
      </x:c>
      <x:c r="D9" s="44"/>
      <x:c r="E9" s="44"/>
      <x:c r="F9" s="44" t="n">
        <x:v>0</x:v>
      </x:c>
      <x:c r="G9" s="44" t="n">
        <x:v>0.002</x:v>
      </x:c>
      <x:c r="H9" s="14" t="n">
        <x:v>99</x:v>
      </x:c>
      <x:c r="I9" s="10" t="str">
        <x:v>是否收取依商品</x:v>
      </x:c>
      <x:c r="J9" s="10" t="str">
        <x:v>區間</x:v>
      </x:c>
      <x:c r="K9" s="10" t="str">
        <x:v>上限試算不能視為實際報價</x:v>
      </x:c>
    </x:row>
    <x:row r="10">
      <x:c r="A10" s="10" t="str">
        <x:v>國泰證券</x:v>
      </x:c>
      <x:c r="B10" s="44" t="n">
        <x:v>0</x:v>
      </x:c>
      <x:c r="C10" s="44" t="n">
        <x:v>0</x:v>
      </x:c>
      <x:c r="D10" s="44" t="n">
        <x:v>0</x:v>
      </x:c>
      <x:c r="E10" s="44" t="n">
        <x:v>0</x:v>
      </x:c>
      <x:c r="F10" s="44" t="n">
        <x:v>0</x:v>
      </x:c>
      <x:c r="G10" s="44" t="n">
        <x:v>0</x:v>
      </x:c>
      <x:c r="H10" s="14" t="n">
        <x:v>0</x:v>
      </x:c>
      <x:c r="I10" s="10" t="str">
        <x:v>海外債券內含手續費≤投資總金額5%/筆</x:v>
      </x:c>
      <x:c r="J10" s="10" t="str">
        <x:v>內含上限</x:v>
      </x:c>
      <x:c r="K10" s="10" t="str">
        <x:v>顯性費用以0呈現；另於成本試算顯示內含成本上限5%/筆</x:v>
      </x:c>
    </x:row>
    <x:row r="11">
      <x:c r="A11" s="10" t="str">
        <x:v>凱基證券</x:v>
      </x:c>
      <x:c r="B11" s="44" t="n">
        <x:v>0</x:v>
      </x:c>
      <x:c r="C11" s="44" t="n">
        <x:v>0.05</x:v>
      </x:c>
      <x:c r="D11" s="44" t="n">
        <x:v>0</x:v>
      </x:c>
      <x:c r="E11" s="44" t="n">
        <x:v>0.05</x:v>
      </x:c>
      <x:c r="F11" s="44" t="n">
        <x:v>0</x:v>
      </x:c>
      <x:c r="G11" s="44" t="n">
        <x:v>0</x:v>
      </x:c>
      <x:c r="H11" s="14" t="n">
        <x:v>0</x:v>
      </x:c>
      <x:c r="I11" s="10" t="str">
        <x:v>交易手續費已含成交價，≤5%為上限</x:v>
      </x:c>
      <x:c r="J11" s="10" t="str">
        <x:v>上限</x:v>
      </x:c>
      <x:c r="K11" s="10" t="str">
        <x:v>不適合用上限直接排名</x:v>
      </x:c>
    </x:row>
    <x:row r="12">
      <x:c r="A12" s="10" t="str">
        <x:v>永豐金證券</x:v>
      </x:c>
      <x:c r="B12" s="44" t="n">
        <x:v>0.005</x:v>
      </x:c>
      <x:c r="C12" s="44" t="n">
        <x:v>0.01</x:v>
      </x:c>
      <x:c r="D12" s="44" t="n">
        <x:v>0</x:v>
      </x:c>
      <x:c r="E12" s="44" t="n">
        <x:v>0</x:v>
      </x:c>
      <x:c r="F12" s="44" t="n">
        <x:v>0</x:v>
      </x:c>
      <x:c r="G12" s="44" t="n">
        <x:v>0.002</x:v>
      </x:c>
      <x:c r="H12" s="14" t="n">
        <x:v>99</x:v>
      </x:c>
      <x:c r="I12" s="10" t="str">
        <x:v>個別商品可能為0%~0.2%</x:v>
      </x:c>
      <x:c r="J12" s="10" t="str">
        <x:v>區間</x:v>
      </x:c>
      <x:c r="K12" s="10" t="str"/>
    </x:row>
  </x:sheetData>
  <x:pageMargins left="0.7" right="0.7" top="0.75" bottom="0.75" header="0.3" footer="0.3"/>
  <x:tableParts count="1">
    <x:tablePart xmlns:r="http://schemas.openxmlformats.org/officeDocument/2006/relationships" r:id="Rdcfd3f10975a4f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44" hidden="0" customWidth="1"/>
    <x:col min="6" max="6" width="14" hidden="0" customWidth="1"/>
    <x:col min="7" max="7" width="14" hidden="0" customWidth="1"/>
    <x:col min="8" max="8" width="26" hidden="0" customWidth="1"/>
    <x:col min="9" max="9" width="20" hidden="0" customWidth="1"/>
    <x:col min="10" max="10" width="24" hidden="0" customWidth="1"/>
  </x:cols>
  <x:sheetData>
    <x:row r="1">
      <x:c r="A1" s="17" t="str">
        <x:v>海外債券平台通路成本試算（僅依公開可量化顯性費用）</x:v>
      </x:c>
      <x:c r="B1" s="17"/>
      <x:c r="C1" s="17"/>
      <x:c r="D1" s="50"/>
      <x:c r="E1" s="50"/>
      <x:c r="F1" s="17"/>
      <x:c r="G1" s="17"/>
      <x:c r="H1" s="17"/>
    </x:row>
    <x:row r="3">
      <x:c r="A3" s="21" t="str">
        <x:v>輸入項目</x:v>
      </x:c>
      <x:c r="B3" s="21" t="str">
        <x:v>數值</x:v>
      </x:c>
      <x:c r="D3" s="49" t="str">
        <x:v>情境說明</x:v>
      </x:c>
      <x:c r="E3" s="49" t="str">
        <x:v>規則</x:v>
      </x:c>
    </x:row>
    <x:row r="4">
      <x:c r="A4" t="str">
        <x:v>投資本金 (USD)</x:v>
      </x:c>
      <x:c r="B4" s="26" t="n">
        <x:v>100000</x:v>
      </x:c>
      <x:c r="D4" t="str">
        <x:v>持有到期</x:v>
      </x:c>
      <x:c r="E4" t="str">
        <x:v>提前賣出=0；不計提前退出費</x:v>
      </x:c>
    </x:row>
    <x:row r="5">
      <x:c r="A5" t="str">
        <x:v>持有年數</x:v>
      </x:c>
      <x:c r="B5" s="28" t="n">
        <x:v>3</x:v>
      </x:c>
      <x:c r="D5" t="str">
        <x:v>提前賣出</x:v>
      </x:c>
      <x:c r="E5" t="str">
        <x:v>提前賣出=1；套用各平台已公開的退出費</x:v>
      </x:c>
    </x:row>
    <x:row r="6">
      <x:c r="A6" t="str">
        <x:v>提前賣出？ (1=是,0=否)</x:v>
      </x:c>
      <x:c r="B6" s="28" t="n">
        <x:v>1</x:v>
      </x:c>
      <x:c r="D6" t="str">
        <x:v>注意</x:v>
      </x:c>
      <x:c r="E6" t="str">
        <x:v>內含報價的通路服務費仍不列入顯性成本試算</x:v>
      </x:c>
    </x:row>
    <x:row r="9">
      <x:c r="A9" s="51" t="str">
        <x:v>平台</x:v>
      </x:c>
      <x:c r="B9" s="51" t="str">
        <x:v>申購費_低</x:v>
      </x:c>
      <x:c r="C9" s="51" t="str">
        <x:v>申購費_高</x:v>
      </x:c>
      <x:c r="D9" s="51" t="str">
        <x:v>管理費_低</x:v>
      </x:c>
      <x:c r="E9" s="51" t="str">
        <x:v>管理費_高</x:v>
      </x:c>
      <x:c r="F9" s="51" t="str">
        <x:v>賣出費_低</x:v>
      </x:c>
      <x:c r="G9" s="51" t="str">
        <x:v>賣出費_高</x:v>
      </x:c>
      <x:c r="H9" s="51" t="str">
        <x:v>顯性成本區間</x:v>
      </x:c>
      <x:c r="I9" s="51" t="str">
        <x:v>內含費用上限</x:v>
      </x:c>
      <x:c r="J9" s="51" t="str">
        <x:v>含內含上限之最高成本</x:v>
      </x:c>
    </x:row>
    <x:row r="10">
      <x:c r="A10" s="10" t="str">
        <x:v>玉山銀行</x:v>
      </x:c>
      <x:c r="B10" s="33" t="n">
        <x:f>IF(ISBLANK('量化假設'!B2),"", $B$4*'量化假設'!B2)</x:f>
        <x:v>2000</x:v>
      </x:c>
      <x:c r="C10" s="33" t="n">
        <x:f>IF(ISBLANK('量化假設'!C2),"", $B$4*'量化假設'!C2)</x:f>
        <x:v>2000</x:v>
      </x:c>
      <x:c r="D10" s="33" t="n">
        <x:f>IF(ISBLANK('量化假設'!F2),"",$B$4*MIN($B$5,'量化假設'!H2)*'量化假設'!F2)</x:f>
        <x:v>600</x:v>
      </x:c>
      <x:c r="E10" s="33" t="n">
        <x:f>IF(ISBLANK('量化假設'!G2),"",$B$4*MIN($B$5,'量化假設'!H2)*'量化假設'!G2)</x:f>
        <x:v>600</x:v>
      </x:c>
      <x:c r="F10" s="33" t="n">
        <x:f>IF(ISBLANK('量化假設'!D2),"",$B$4*'量化假設'!D2*$B$6)</x:f>
        <x:v>0</x:v>
      </x:c>
      <x:c r="G10" s="33" t="n">
        <x:f>IF(ISBLANK('量化假設'!E2),"",$B$4*'量化假設'!E2*$B$6)</x:f>
        <x:v>0</x:v>
      </x:c>
      <x:c r="H10" s="10" t="str">
        <x:f>IF(AND(B10="",C10="",D10="",E10=""),"N/A",TEXT(N(B10)+N(D10)+N(F10),"$#,##0")&amp;" – "&amp;TEXT(N(C10)+N(E10)+N(G10),"$#,##0"))</x:f>
        <x:v>$2,600 – $2,600</x:v>
      </x:c>
      <x:c r="I10" s="10" t="str">
        <x:v>年化≤0.5%</x:v>
      </x:c>
      <x:c r="J10" s="33" t="str">
        <x:f>IF(H10="N/A","N/A",TEXT(N(C10)+N(E10)+N(G10)+$B$4*0.005*$B$5,"$#,##0"))</x:f>
        <x:v>$4,100</x:v>
      </x:c>
    </x:row>
    <x:row r="11">
      <x:c r="A11" s="10" t="str">
        <x:v>國泰世華</x:v>
      </x:c>
      <x:c r="B11" s="33" t="n">
        <x:f>IF(ISBLANK('量化假設'!B3),"", $B$4*'量化假設'!B3)</x:f>
        <x:v>1000</x:v>
      </x:c>
      <x:c r="C11" s="33" t="n">
        <x:f>IF(ISBLANK('量化假設'!C3),"", $B$4*'量化假設'!C3)</x:f>
        <x:v>1750.0000000000002</x:v>
      </x:c>
      <x:c r="D11" s="33" t="n">
        <x:f>$B$4*(MIN($B$5,1)*0.001+MAX($B$5-1,0)*0.002)</x:f>
        <x:v>500</x:v>
      </x:c>
      <x:c r="E11" s="33" t="n">
        <x:f>$B$4*(MIN($B$5,1)*0.001+MAX($B$5-1,0)*0.002)</x:f>
        <x:v>500</x:v>
      </x:c>
      <x:c r="F11" s="33" t="n">
        <x:f>IF(ISBLANK('量化假設'!D3),"",$B$4*'量化假設'!D3*$B$6)</x:f>
        <x:v>0</x:v>
      </x:c>
      <x:c r="G11" s="33" t="n">
        <x:f>IF(ISBLANK('量化假設'!E3),"",$B$4*'量化假設'!E3*$B$6)</x:f>
        <x:v>0</x:v>
      </x:c>
      <x:c r="H11" s="10" t="str">
        <x:f>IF(AND(B11="",C11="",D11="",E11=""),"N/A",TEXT(N(B11)+N(D11)+N(F11),"$#,##0")&amp;" – "&amp;TEXT(N(C11)+N(E11)+N(G11),"$#,##0"))</x:f>
        <x:v>$1,500 – $2,250</x:v>
      </x:c>
      <x:c r="I11" s="10" t="str">
        <x:v>年化≤0.5%</x:v>
      </x:c>
      <x:c r="J11" s="33" t="str">
        <x:f>IF(H11="N/A","N/A",TEXT(N(C11)+N(E11)+N(G11)+$B$4*0.005*$B$5,"$#,##0"))</x:f>
        <x:v>$3,750</x:v>
      </x:c>
    </x:row>
    <x:row r="12">
      <x:c r="A12" s="10" t="str">
        <x:v>台北富邦銀行</x:v>
      </x:c>
      <x:c r="B12" s="33" t="n">
        <x:f>IF(ISBLANK('量化假設'!B4),"", $B$4*'量化假設'!B4)</x:f>
        <x:v>0</x:v>
      </x:c>
      <x:c r="C12" s="33" t="n">
        <x:f>IF(ISBLANK('量化假設'!C4),"", $B$4*'量化假設'!C4)</x:f>
        <x:v>0</x:v>
      </x:c>
      <x:c r="D12" s="33" t="n">
        <x:f>IF(ISBLANK('量化假設'!F4),"",$B$4*MIN($B$5,'量化假設'!H4)*'量化假設'!F4)</x:f>
        <x:v>540</x:v>
      </x:c>
      <x:c r="E12" s="33" t="n">
        <x:f>IF(ISBLANK('量化假設'!G4),"",$B$4*MIN($B$5,'量化假設'!H4)*'量化假設'!G4)</x:f>
        <x:v>540</x:v>
      </x:c>
      <x:c r="F12" s="33" t="n">
        <x:f>IF(ISBLANK('量化假設'!D4),"",$B$4*'量化假設'!D4*$B$6)</x:f>
        <x:v>0</x:v>
      </x:c>
      <x:c r="G12" s="33" t="n">
        <x:f>IF(ISBLANK('量化假設'!E4),"",$B$4*'量化假設'!E4*$B$6)</x:f>
        <x:v>1000</x:v>
      </x:c>
      <x:c r="H12" s="10" t="str">
        <x:f>IF(AND(B12="",C12="",D12="",E12=""),"N/A",TEXT(N(B12)+N(D12)+N(F12),"$#,##0")&amp;" – "&amp;TEXT(N(C12)+N(E12)+N(G12),"$#,##0"))</x:f>
        <x:v>$540 – $1,540</x:v>
      </x:c>
      <x:c r="I12" s="10" t="str">
        <x:v>年化≤0.5%</x:v>
      </x:c>
      <x:c r="J12" s="33" t="str">
        <x:f>IF(H12="N/A","N/A",TEXT(N(C12)+N(E12)+N(G12)+$B$4*0.005*$B$5,"$#,##0"))</x:f>
        <x:v>$3,040</x:v>
      </x:c>
    </x:row>
    <x:row r="13">
      <x:c r="A13" s="10" t="str">
        <x:v>中國信託</x:v>
      </x:c>
      <x:c r="B13" s="33" t="n">
        <x:f>IF(ISBLANK('量化假設'!B5),"", $B$4*'量化假設'!B5)</x:f>
        <x:v>0</x:v>
      </x:c>
      <x:c r="C13" s="33" t="n">
        <x:f>IF(ISBLANK('量化假設'!C5),"", $B$4*'量化假設'!C5)</x:f>
        <x:v>4000</x:v>
      </x:c>
      <x:c r="D13" s="33" t="n">
        <x:f>IF(ISBLANK('量化假設'!F5),"",$B$4*MIN($B$5,'量化假設'!H5)*'量化假設'!F5)</x:f>
        <x:v>600</x:v>
      </x:c>
      <x:c r="E13" s="33" t="n">
        <x:f>IF(ISBLANK('量化假設'!G5),"",$B$4*MIN($B$5,'量化假設'!H5)*'量化假設'!G5)</x:f>
        <x:v>600</x:v>
      </x:c>
      <x:c r="F13" s="33" t="n">
        <x:f>IF(ISBLANK('量化假設'!D5),"",$B$4*'量化假設'!D5*$B$6)</x:f>
        <x:v>1250</x:v>
      </x:c>
      <x:c r="G13" s="33" t="n">
        <x:f>IF(ISBLANK('量化假設'!E5),"",$B$4*'量化假設'!E5*$B$6)</x:f>
        <x:v>1250</x:v>
      </x:c>
      <x:c r="H13" s="10" t="str">
        <x:f>IF(AND(B13="",C13="",D13="",E13=""),"N/A",TEXT(N(B13)+N(D13)+N(F13),"$#,##0")&amp;" – "&amp;TEXT(N(C13)+N(E13)+N(G13),"$#,##0"))</x:f>
        <x:v>$1,850 – $5,850</x:v>
      </x:c>
      <x:c r="I13" s="10" t="str">
        <x:v>0.5%–4%（多數內含報價）</x:v>
      </x:c>
      <x:c r="J13" s="33" t="str">
        <x:f>IF(H13="N/A","N/A",TEXT(N(C13)+N(E13)+N(G13)+$B$4*0.04,"$#,##0"))</x:f>
        <x:v>$9,850</x:v>
      </x:c>
    </x:row>
    <x:row r="14">
      <x:c r="A14" s="10" t="str">
        <x:v>台新銀行</x:v>
      </x:c>
      <x:c r="B14" s="33" t="n">
        <x:f>IF(ISBLANK('量化假設'!B6),"", $B$4*'量化假設'!B6)</x:f>
        <x:v>1000</x:v>
      </x:c>
      <x:c r="C14" s="33" t="n">
        <x:f>IF(ISBLANK('量化假設'!C6),"", $B$4*'量化假設'!C6)</x:f>
        <x:v>1000</x:v>
      </x:c>
      <x:c r="D14" s="33" t="n">
        <x:f>IF(ISBLANK('量化假設'!F6),"",$B$4*MIN($B$5,'量化假設'!H6)*'量化假設'!F6)</x:f>
        <x:v>270</x:v>
      </x:c>
      <x:c r="E14" s="33" t="n">
        <x:f>IF(ISBLANK('量化假設'!G6),"",$B$4*MIN($B$5,'量化假設'!H6)*'量化假設'!G6)</x:f>
        <x:v>270</x:v>
      </x:c>
      <x:c r="F14" s="33" t="n">
        <x:f>IF(ISBLANK('量化假設'!D6),"",$B$4*'量化假設'!D6*$B$6)</x:f>
        <x:v>0</x:v>
      </x:c>
      <x:c r="G14" s="33" t="n">
        <x:f>IF(ISBLANK('量化假設'!E6),"",$B$4*'量化假設'!E6*$B$6)</x:f>
        <x:v>0</x:v>
      </x:c>
      <x:c r="H14" s="10" t="str">
        <x:f>IF(AND(B14="",C14="",D14="",E14=""),"N/A",TEXT(N(B14)+N(D14)+N(F14),"$#,##0")&amp;" – "&amp;TEXT(N(C14)+N(E14)+N(G14),"$#,##0"))</x:f>
        <x:v>$1,270 – $1,270</x:v>
      </x:c>
      <x:c r="I14" s="10" t="str">
        <x:v>年化≤0.5%</x:v>
      </x:c>
      <x:c r="J14" s="33" t="str">
        <x:f>IF(H14="N/A","N/A",TEXT(N(C14)+N(E14)+N(G14)+$B$4*0.005*$B$5,"$#,##0"))</x:f>
        <x:v>$2,770</x:v>
      </x:c>
    </x:row>
    <x:row r="15">
      <x:c r="A15" s="10" t="str">
        <x:v>DBS 星展銀行</x:v>
      </x:c>
      <x:c r="B15" s="33" t="n">
        <x:f>IF(ISBLANK('量化假設'!B7),"", $B$4*'量化假設'!B7)</x:f>
        <x:v>1500</x:v>
      </x:c>
      <x:c r="C15" s="33" t="n">
        <x:f>IF(ISBLANK('量化假設'!C7),"", $B$4*'量化假設'!C7)</x:f>
        <x:v>1500</x:v>
      </x:c>
      <x:c r="D15" s="33" t="n">
        <x:f>0</x:f>
        <x:v>0</x:v>
      </x:c>
      <x:c r="E15" s="33" t="n">
        <x:f>$B$4*MIN(MAX($B$5-1,0)*0.002,0.006)</x:f>
        <x:v>400</x:v>
      </x:c>
      <x:c r="F15" s="33" t="n">
        <x:f>IF(ISBLANK('量化假設'!D7),"",$B$4*'量化假設'!D7*$B$6)</x:f>
        <x:v>0</x:v>
      </x:c>
      <x:c r="G15" s="33" t="n">
        <x:f>IF(ISBLANK('量化假設'!E7),"",$B$4*'量化假設'!E7*$B$6)</x:f>
        <x:v>0</x:v>
      </x:c>
      <x:c r="H15" s="10" t="str">
        <x:f>IF(AND(B15="",C15="",D15="",E15=""),"N/A",TEXT(N(B15)+N(D15)+N(F15),"$#,##0")&amp;" – "&amp;TEXT(N(C15)+N(E15)+N(G15),"$#,##0"))</x:f>
        <x:v>$1,500 – $1,900</x:v>
      </x:c>
      <x:c r="I15" s="10" t="str">
        <x:v>年化≤0.5%</x:v>
      </x:c>
      <x:c r="J15" s="33" t="str">
        <x:f>IF(H15="N/A","N/A",TEXT(N(C15)+N(E15)+N(G15)+$B$4*0.005*$B$5,"$#,##0"))</x:f>
        <x:v>$3,400</x:v>
      </x:c>
    </x:row>
    <x:row r="16">
      <x:c r="A16" s="10" t="str">
        <x:v>富邦證券</x:v>
      </x:c>
      <x:c r="B16" s="33" t="n">
        <x:v>0</x:v>
      </x:c>
      <x:c r="C16" s="33" t="n">
        <x:v>0</x:v>
      </x:c>
      <x:c r="D16" s="33" t="n">
        <x:v>0</x:v>
      </x:c>
      <x:c r="E16" s="33" t="n">
        <x:v>0</x:v>
      </x:c>
      <x:c r="F16" s="33" t="n">
        <x:v>0</x:v>
      </x:c>
      <x:c r="G16" s="33" t="n">
        <x:v>0</x:v>
      </x:c>
      <x:c r="H16" s="10" t="str">
        <x:f>TEXT(0,"$#,##0")&amp;" – "&amp;TEXT(0,"$#,##0")</x:f>
        <x:v>$0 – $0</x:v>
      </x:c>
      <x:c r="I16" s="10" t="str">
        <x:v>每筆≤5%（內含成交價）</x:v>
      </x:c>
      <x:c r="J16" s="33" t="n">
        <x:f>$B$4*0.05*(1+$B$6)</x:f>
        <x:v>10000</x:v>
      </x:c>
    </x:row>
    <x:row r="17">
      <x:c r="A17" s="10" t="str">
        <x:v>元大證券</x:v>
      </x:c>
      <x:c r="B17" s="33" t="n">
        <x:f>IF(ISBLANK('量化假設'!B9),"", $B$4*'量化假設'!B9)</x:f>
        <x:v>0</x:v>
      </x:c>
      <x:c r="C17" s="33" t="n">
        <x:f>IF(ISBLANK('量化假設'!C9),"", $B$4*'量化假設'!C9)</x:f>
        <x:v>3000</x:v>
      </x:c>
      <x:c r="D17" s="33" t="n">
        <x:f>IF(ISBLANK('量化假設'!F9),"",$B$4*MIN($B$5,'量化假設'!H9)*'量化假設'!F9)</x:f>
        <x:v>0</x:v>
      </x:c>
      <x:c r="E17" s="33" t="n">
        <x:f>IF(ISBLANK('量化假設'!G9),"",$B$4*MIN($B$5,'量化假設'!H9)*'量化假設'!G9)</x:f>
        <x:v>600</x:v>
      </x:c>
      <x:c r="F17" s="33" t="str">
        <x:f>IF(ISBLANK('量化假設'!D9),"",$B$4*'量化假設'!D9*$B$6)</x:f>
      </x:c>
      <x:c r="G17" s="33" t="str">
        <x:f>IF(ISBLANK('量化假設'!E9),"",$B$4*'量化假設'!E9*$B$6)</x:f>
      </x:c>
      <x:c r="H17" s="10" t="str">
        <x:f>IF(AND(B17="",C17="",D17="",E17=""),"N/A",TEXT(N(B17)+N(D17)+N(F17),"$#,##0")&amp;" – "&amp;TEXT(N(C17)+N(E17)+N(G17),"$#,##0"))</x:f>
        <x:v>$0 – $3,600</x:v>
      </x:c>
      <x:c r="I17" s="10" t="str">
        <x:v>年化0–0.5%</x:v>
      </x:c>
      <x:c r="J17" s="33" t="str">
        <x:f>IF(H17="N/A","N/A",TEXT(N(C17)+N(E17)+N(G17)+$B$4*0.005*$B$5,"$#,##0"))</x:f>
        <x:v>$5,100</x:v>
      </x:c>
    </x:row>
    <x:row r="18">
      <x:c r="A18" s="10" t="str">
        <x:v>國泰證券</x:v>
      </x:c>
      <x:c r="B18" s="33" t="n">
        <x:v>0</x:v>
      </x:c>
      <x:c r="C18" s="33" t="n">
        <x:v>0</x:v>
      </x:c>
      <x:c r="D18" s="33" t="n">
        <x:v>0</x:v>
      </x:c>
      <x:c r="E18" s="33" t="n">
        <x:v>0</x:v>
      </x:c>
      <x:c r="F18" s="33" t="n">
        <x:v>0</x:v>
      </x:c>
      <x:c r="G18" s="33" t="n">
        <x:v>0</x:v>
      </x:c>
      <x:c r="H18" s="10" t="str">
        <x:f>TEXT(0,"$#,##0")&amp;" – "&amp;TEXT(0,"$#,##0")</x:f>
        <x:v>$0 – $0</x:v>
      </x:c>
      <x:c r="I18" s="10" t="str">
        <x:v>每筆≤5%（內含成交價）</x:v>
      </x:c>
      <x:c r="J18" s="33" t="n">
        <x:f>$B$4*0.05*(1+$B$6)</x:f>
        <x:v>10000</x:v>
      </x:c>
    </x:row>
    <x:row r="19">
      <x:c r="A19" s="10" t="str">
        <x:v>凱基證券</x:v>
      </x:c>
      <x:c r="B19" s="33" t="n">
        <x:f>IF(ISBLANK('量化假設'!B11),"", $B$4*'量化假設'!B11)</x:f>
        <x:v>0</x:v>
      </x:c>
      <x:c r="C19" s="33" t="n">
        <x:f>IF(ISBLANK('量化假設'!C11),"", $B$4*'量化假設'!C11)</x:f>
        <x:v>5000</x:v>
      </x:c>
      <x:c r="D19" s="33" t="n">
        <x:f>IF(ISBLANK('量化假設'!F11),"",$B$4*MIN($B$5,'量化假設'!H11)*'量化假設'!F11)</x:f>
        <x:v>0</x:v>
      </x:c>
      <x:c r="E19" s="33" t="n">
        <x:f>IF(ISBLANK('量化假設'!G11),"",$B$4*MIN($B$5,'量化假設'!H11)*'量化假設'!G11)</x:f>
        <x:v>0</x:v>
      </x:c>
      <x:c r="F19" s="33" t="n">
        <x:f>IF(ISBLANK('量化假設'!D11),"",$B$4*'量化假設'!D11*$B$6)</x:f>
        <x:v>0</x:v>
      </x:c>
      <x:c r="G19" s="33" t="n">
        <x:f>IF(ISBLANK('量化假設'!E11),"",$B$4*'量化假設'!E11*$B$6)</x:f>
        <x:v>5000</x:v>
      </x:c>
      <x:c r="H19" s="10" t="str">
        <x:f>IF(AND(B19="",C19="",D19="",E19=""),"N/A",TEXT(N(B19)+N(D19)+N(F19),"$#,##0")&amp;" – "&amp;TEXT(N(C19)+N(E19)+N(G19),"$#,##0"))</x:f>
        <x:v>$0 – $10,000</x:v>
      </x:c>
      <x:c r="I19" s="10" t="str">
        <x:v>每筆≤5%</x:v>
      </x:c>
      <x:c r="J19" s="33" t="str">
        <x:f>IF(H19="N/A","N/A",TEXT(N(C19)+N(E19)+N(G19)+$B$4*0.05*(1+$B$6),"$#,##0"))</x:f>
        <x:v>$20,000</x:v>
      </x:c>
    </x:row>
    <x:row r="20">
      <x:c r="A20" s="10" t="str">
        <x:v>永豐金證券</x:v>
      </x:c>
      <x:c r="B20" s="33" t="n">
        <x:f>IF(ISBLANK('量化假設'!B12),"", $B$4*'量化假設'!B12)</x:f>
        <x:v>500</x:v>
      </x:c>
      <x:c r="C20" s="33" t="n">
        <x:f>IF(ISBLANK('量化假設'!C12),"", $B$4*'量化假設'!C12)</x:f>
        <x:v>1000</x:v>
      </x:c>
      <x:c r="D20" s="33" t="n">
        <x:f>IF(ISBLANK('量化假設'!F12),"",$B$4*MIN($B$5,'量化假設'!H12)*'量化假設'!F12)</x:f>
        <x:v>0</x:v>
      </x:c>
      <x:c r="E20" s="33" t="n">
        <x:f>IF(ISBLANK('量化假設'!G12),"",$B$4*MIN($B$5,'量化假設'!H12)*'量化假設'!G12)</x:f>
        <x:v>600</x:v>
      </x:c>
      <x:c r="F20" s="33" t="n">
        <x:f>IF(ISBLANK('量化假設'!D12),"",$B$4*'量化假設'!D12*$B$6)</x:f>
        <x:v>0</x:v>
      </x:c>
      <x:c r="G20" s="33" t="n">
        <x:f>IF(ISBLANK('量化假設'!E12),"",$B$4*'量化假設'!E12*$B$6)</x:f>
        <x:v>0</x:v>
      </x:c>
      <x:c r="H20" s="10" t="str">
        <x:f>IF(AND(B20="",C20="",D20="",E20=""),"N/A",TEXT(N(B20)+N(D20)+N(F20),"$#,##0")&amp;" – "&amp;TEXT(N(C20)+N(E20)+N(G20),"$#,##0"))</x:f>
        <x:v>$500 – $1,600</x:v>
      </x:c>
      <x:c r="I20" s="10" t="str">
        <x:v>依市場/商品</x:v>
      </x:c>
      <x:c r="J20" s="33" t="str">
        <x:v>N/A</x:v>
      </x:c>
    </x:row>
    <x:row r="23">
      <x:c r="A23" s="55" t="str">
        <x:v>試算預設為『提前賣出=1』：因此台北富邦銀行會計入最高1%賣出/贖回手續費。若改成持有到期，將B6改為0。</x:v>
      </x:c>
      <x:c r="B23" s="55"/>
      <x:c r="C23" s="55"/>
      <x:c r="D23" s="55"/>
      <x:c r="E23" s="55"/>
      <x:c r="F23" s="55"/>
      <x:c r="G23" s="55"/>
      <x:c r="H23" s="55"/>
      <x:c r="I23" s="55"/>
      <x:c r="J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</x:row>
    <x:row r="26">
      <x:c r="A26" s="58" t="str">
        <x:v>「內含費用上限」不是實際固定費率。富邦證券、國泰證券、凱基證券的5%是每筆上限；買入後再賣出時理論上兩筆交易各有上限，因此『含內含上限之最高成本』僅為極端上界，不應用來判定實際哪家最便宜。真正比較仍需要同一債券的成交報價。</x:v>
      </x:c>
      <x:c r="B26" s="58"/>
      <x:c r="C26" s="58"/>
      <x:c r="D26" s="58"/>
      <x:c r="E26" s="58"/>
      <x:c r="F26" s="58"/>
      <x:c r="G26" s="58"/>
      <x:c r="H26" s="58"/>
      <x:c r="I26" s="58"/>
      <x:c r="J26" s="58"/>
    </x:row>
    <x:row r="27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</x:row>
    <x:row r="28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</x:row>
    <x:row r="29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</x:row>
    <x:row r="30">
      <x:c r="A30" s="63" t="str">
        <x:v>富邦證券、國泰證券：顯性另扣費用以 $0 顯示；公告為『手續費內含成交價、每筆上限5%』。因此右欄以投資本金估算理論上限：持有到期僅買進一筆＝最高5%；若提前賣出，買進＋賣出兩筆＝最高10%。這只是公告上限，不代表實際成交一定收取該比例。</x:v>
      </x:c>
      <x:c r="B30" s="63"/>
      <x:c r="C30" s="63"/>
      <x:c r="D30" s="63"/>
      <x:c r="E30" s="63"/>
      <x:c r="F30" s="63"/>
      <x:c r="G30" s="63"/>
      <x:c r="H30" s="63"/>
      <x:c r="I30" s="63"/>
      <x:c r="J30" s="63"/>
    </x:row>
    <x:row r="31">
      <x:c r="A31" s="63"/>
      <x:c r="B31" s="63"/>
      <x:c r="C31" s="63"/>
      <x:c r="D31" s="63"/>
      <x:c r="E31" s="63"/>
      <x:c r="F31" s="63"/>
      <x:c r="G31" s="63"/>
      <x:c r="H31" s="63"/>
      <x:c r="I31" s="63"/>
      <x:c r="J31" s="63"/>
    </x:row>
    <x:row r="32">
      <x:c r="A32" s="63"/>
      <x:c r="B32" s="63"/>
      <x:c r="C32" s="63"/>
      <x:c r="D32" s="63"/>
      <x:c r="E32" s="63"/>
      <x:c r="F32" s="63"/>
      <x:c r="G32" s="63"/>
      <x:c r="H32" s="63"/>
      <x:c r="I32" s="63"/>
      <x:c r="J32" s="63"/>
    </x:row>
    <x:row r="33">
      <x:c r="A33" s="63"/>
      <x:c r="B33" s="63"/>
      <x:c r="C33" s="63"/>
      <x:c r="D33" s="63"/>
      <x:c r="E33" s="63"/>
      <x:c r="F33" s="63"/>
      <x:c r="G33" s="63"/>
      <x:c r="H33" s="63"/>
      <x:c r="I33" s="63"/>
      <x:c r="J33" s="63"/>
    </x:row>
  </x:sheetData>
  <x:mergeCells>
    <x:mergeCell ref="A1:H1"/>
    <x:mergeCell ref="A23:H25"/>
    <x:mergeCell ref="A26:H28"/>
    <x:mergeCell ref="A23:J25"/>
    <x:mergeCell ref="A26:J29"/>
    <x:mergeCell ref="A30:J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2" t="str">
        <x:v>項目</x:v>
      </x:c>
      <x:c r="B1" s="42" t="str">
        <x:v>說明</x:v>
      </x:c>
    </x:row>
    <x:row r="2">
      <x:c r="A2" t="str">
        <x:v>資料基準日</x:v>
      </x:c>
      <x:c r="B2" t="str">
        <x:v>2026-09-13</x:v>
      </x:c>
    </x:row>
    <x:row r="3">
      <x:c r="A3" t="str">
        <x:v>比較範圍</x:v>
      </x:c>
      <x:c r="B3" t="str">
        <x:v>海外債券通路，不含基金；11 家：玉山、國泰世華、台北富邦、中國信託、台新、DBS、富邦證、元大證、國泰證、凱基證、永豐金證。</x:v>
      </x:c>
    </x:row>
    <x:row r="4">
      <x:c r="A4" t="str">
        <x:v>顯性費用</x:v>
      </x:c>
      <x:c r="B4" t="str">
        <x:v>由投資人直接支付，例如申購手續費、贖回/交易手續費、信託管理費。</x:v>
      </x:c>
    </x:row>
    <x:row r="5">
      <x:c r="A5" t="str">
        <x:v>隱含/通路費</x:v>
      </x:c>
      <x:c r="B5" t="str">
        <x:v>由交易對手支付給平台或內含成交價格者，不代表投資人帳面另扣，但可能反映在報價中。</x:v>
      </x:c>
    </x:row>
    <x:row r="6">
      <x:c r="A6" t="str">
        <x:v>排名原則</x:v>
      </x:c>
      <x:c r="B6" t="str">
        <x:v>不能直接用『費率上限』排名。只有固定且同口徑的費率才適合直接計算；上限/區間/逐檔費率需另外標示。</x:v>
      </x:c>
    </x:row>
    <x:row r="7">
      <x:c r="A7" t="str">
        <x:v>銀行 vs 證券商</x:v>
      </x:c>
      <x:c r="B7" t="str">
        <x:v>銀行常採特定金錢信託，較常見年度信託管理費；證券商可能採財富管理信託或複委託，收費口徑不同。</x:v>
      </x:c>
    </x:row>
    <x:row r="8">
      <x:c r="A8" t="str">
        <x:v>下一步建議</x:v>
      </x:c>
      <x:c r="B8" t="str">
        <x:v>網站可把費用拆成：顯性一次性成本、年度持有成本、提前退出成本、內含價差/通路費四層。</x:v>
      </x:c>
    </x:row>
    <x:row r="9">
      <x:c r="A9" s="10" t="str">
        <x:v>國泰世華補充</x:v>
      </x:c>
      <x:c r="B9" s="10" t="str">
        <x:v>官方收費標準：申購手續費 1%–1.75%；2014/1/1後申購，第1年信託管理費0.10%/年、第2年起0.20%/年；非專業投資人通路服務費年化≤0.5%、專業投資人≤1%。來源：https://www.cathaybk.com.tw/cathaybk/personal/investment/offshore-bond/announcement/#tab2</x:v>
      </x:c>
    </x:row>
    <x:row r="10">
      <x:c r="A10" s="10" t="str">
        <x:v>中國信託補充</x:v>
      </x:c>
      <x:c r="B10" s="10" t="str">
        <x:v>一般外國債券：信託管理費0.20%/年；通路服務費0.5%–4%且通常內含報價；部分產品可能改收信託手續費0.5%–4%；提前贖回費1.25%。來源：https://www.ctbcbank.com/twrbo/zh_tw/inv_index/inv_bond/inv_investmentproducts_bondoverview0.html</x:v>
      </x:c>
    </x:row>
    <x:row r="11">
      <x:c r="A11" s="10" t="str">
        <x:v>成本口徑提醒</x:v>
      </x:c>
      <x:c r="B11" s="10" t="str">
        <x:v>通路服務費若內含債券價格，屬隱含成本，與帳戶直接扣收的申購/贖回/信託管理費應分開呈現。</x:v>
      </x:c>
    </x:row>
    <x:row r="12">
      <x:c r="A12" s="10" t="str">
        <x:v>台北富邦銀行修正</x:v>
      </x:c>
      <x:c r="B12" s="10" t="str">
        <x:v>2026/2/1後申購之海外債券，出售/贖回且該筆交易含息報酬率達1%以上時，按信託本金收1%；到期或發行人提前買回免收。</x:v>
      </x:c>
    </x:row>
    <x:row r="13">
      <x:c r="A13" s="10" t="str">
        <x:v>富邦證券</x:v>
      </x:c>
      <x:c r="B13" s="10" t="str">
        <x:v>海外複委託債券手續費內含於成交價格；非專業機構投資人每筆≤成交金額5%，專業機構投資人≤10%。來源：https://www.fbs.com.tw/FinancialManagementProducts/OverseasBonds</x:v>
      </x:c>
    </x:row>
    <x:row r="14">
      <x:c r="A14" s="10" t="str">
        <x:v>國泰證券</x:v>
      </x:c>
      <x:c r="B14" s="10" t="str">
        <x:v>海外債券內含手續費反映於申購價格，不另收取，每筆費率不得超過投資該商品總金額5%。來源：https://www.cathaysec.com.tw/exclude_AL/other_products.aspx</x:v>
      </x:c>
    </x:row>
  </x:sheetData>
  <x:pageMargins left="0.7" right="0.7" top="0.75" bottom="0.75" header="0.3" footer="0.3"/>
</x:worksheet>
</file>